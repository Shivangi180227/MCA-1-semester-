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A\"/>
    </mc:Choice>
  </mc:AlternateContent>
  <xr:revisionPtr revIDLastSave="0" documentId="13_ncr:1_{A21BF2E7-09CB-4DAE-B455-4A8A7D2BDAD3}" xr6:coauthVersionLast="47" xr6:coauthVersionMax="47" xr10:uidLastSave="{00000000-0000-0000-0000-000000000000}"/>
  <bookViews>
    <workbookView xWindow="-120" yWindow="-120" windowWidth="24240" windowHeight="13020" xr2:uid="{144C431C-2ED2-496E-9D77-D62556A3D837}"/>
  </bookViews>
  <sheets>
    <sheet name="Sheet1" sheetId="1" r:id="rId1"/>
    <sheet name="FORMULAS USE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3" l="1"/>
  <c r="F10" i="3"/>
  <c r="F9" i="3"/>
  <c r="D8" i="3"/>
  <c r="E8" i="3" s="1"/>
  <c r="G8" i="3" s="1"/>
  <c r="H8" i="3" s="1"/>
  <c r="D7" i="3"/>
  <c r="E7" i="3" s="1"/>
  <c r="G7" i="3" s="1"/>
  <c r="H7" i="3" s="1"/>
  <c r="D6" i="3"/>
  <c r="E6" i="3" s="1"/>
  <c r="G6" i="3" s="1"/>
  <c r="H6" i="3" s="1"/>
  <c r="D5" i="3"/>
  <c r="E5" i="3" s="1"/>
  <c r="G5" i="3" s="1"/>
  <c r="H5" i="3" s="1"/>
  <c r="D4" i="3"/>
  <c r="E4" i="3" s="1"/>
  <c r="F11" i="1"/>
  <c r="F10" i="1"/>
  <c r="F9" i="1"/>
  <c r="D5" i="1"/>
  <c r="E5" i="1" s="1"/>
  <c r="G5" i="1" s="1"/>
  <c r="H5" i="1" s="1"/>
  <c r="D6" i="1"/>
  <c r="E6" i="1" s="1"/>
  <c r="G6" i="1" s="1"/>
  <c r="H6" i="1" s="1"/>
  <c r="D7" i="1"/>
  <c r="E7" i="1" s="1"/>
  <c r="G7" i="1" s="1"/>
  <c r="H7" i="1" s="1"/>
  <c r="D8" i="1"/>
  <c r="E8" i="1" s="1"/>
  <c r="G8" i="1" s="1"/>
  <c r="H8" i="1" s="1"/>
  <c r="D4" i="1"/>
  <c r="E4" i="1" s="1"/>
  <c r="G4" i="1" l="1"/>
  <c r="E11" i="1"/>
  <c r="E10" i="1"/>
  <c r="G4" i="3"/>
  <c r="E10" i="3"/>
  <c r="E11" i="3"/>
  <c r="G9" i="1" l="1"/>
  <c r="G11" i="1"/>
  <c r="G10" i="1"/>
  <c r="H4" i="1"/>
  <c r="G10" i="3"/>
  <c r="G9" i="3"/>
  <c r="H4" i="3"/>
  <c r="G11" i="3"/>
  <c r="H10" i="1" l="1"/>
  <c r="H11" i="1"/>
  <c r="H9" i="1"/>
  <c r="H11" i="3"/>
  <c r="H9" i="3"/>
  <c r="H10" i="3"/>
</calcChain>
</file>

<file path=xl/sharedStrings.xml><?xml version="1.0" encoding="utf-8"?>
<sst xmlns="http://schemas.openxmlformats.org/spreadsheetml/2006/main" count="34" uniqueCount="17">
  <si>
    <t>LYSON INC - ORANGE JUICE SALES</t>
  </si>
  <si>
    <t>PRODUCT</t>
  </si>
  <si>
    <t>COST PRICE PER LITRE</t>
  </si>
  <si>
    <t>MARKUP PER ITEM 35%</t>
  </si>
  <si>
    <t xml:space="preserve">SELLING PRICE </t>
  </si>
  <si>
    <t>LITRES SOLD</t>
  </si>
  <si>
    <t>TOTAL INCOME</t>
  </si>
  <si>
    <t>Cascade</t>
  </si>
  <si>
    <t>Quench</t>
  </si>
  <si>
    <t>Xtra</t>
  </si>
  <si>
    <t>Sun Splash</t>
  </si>
  <si>
    <t>House Brand</t>
  </si>
  <si>
    <t>TOTAL</t>
  </si>
  <si>
    <t>HIGHEST</t>
  </si>
  <si>
    <t>LOWEST</t>
  </si>
  <si>
    <t>PROFIT</t>
  </si>
  <si>
    <t xml:space="preserve"> MARKUP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</si>
</sst>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9" fontId="1" fillId="0" borderId="1" xfId="0" applyNumberFormat="1" applyFont="1" applyBorder="1" applyAlignment="1">
      <alignment horizontal="center" wrapText="1"/>
    </xf>
    <xf numFmtId="0" fontId="0" fillId="0" borderId="1" xfId="0" applyBorder="1"/>
    <xf numFmtId="9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/>
    <xf numFmtId="2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PRICE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COST PRICE 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04-4B80-B6BF-2BE6040617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04-4B80-B6BF-2BE6040617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04-4B80-B6BF-2BE6040617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04-4B80-B6BF-2BE6040617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04-4B80-B6BF-2BE60406179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 formatCode="0.00">
                  <c:v>1.5</c:v>
                </c:pt>
                <c:pt idx="4" formatCode="0.0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F-40B0-AF2C-40CC851ADB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14</xdr:row>
      <xdr:rowOff>19049</xdr:rowOff>
    </xdr:from>
    <xdr:to>
      <xdr:col>5</xdr:col>
      <xdr:colOff>447675</xdr:colOff>
      <xdr:row>25</xdr:row>
      <xdr:rowOff>90486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D77F4-AC99-EC96-9F37-B7FCBFFD8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949A-B95B-4700-8311-46229C1C7DA7}">
  <sheetPr>
    <pageSetUpPr fitToPage="1"/>
  </sheetPr>
  <dimension ref="A1:V12"/>
  <sheetViews>
    <sheetView tabSelected="1" workbookViewId="0">
      <selection activeCell="E5" sqref="E5"/>
    </sheetView>
  </sheetViews>
  <sheetFormatPr defaultRowHeight="15" x14ac:dyDescent="0.25"/>
  <cols>
    <col min="1" max="1" width="14.42578125" customWidth="1"/>
    <col min="2" max="4" width="13.28515625" customWidth="1"/>
    <col min="5" max="5" width="11.7109375" customWidth="1"/>
    <col min="6" max="6" width="10.140625" customWidth="1"/>
    <col min="7" max="7" width="10.7109375" customWidth="1"/>
  </cols>
  <sheetData>
    <row r="1" spans="1:22" ht="1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0" x14ac:dyDescent="0.25">
      <c r="A3" s="2" t="s">
        <v>1</v>
      </c>
      <c r="B3" s="3" t="s">
        <v>2</v>
      </c>
      <c r="C3" s="4" t="s">
        <v>16</v>
      </c>
      <c r="D3" s="3" t="s">
        <v>3</v>
      </c>
      <c r="E3" s="3" t="s">
        <v>4</v>
      </c>
      <c r="F3" s="3" t="s">
        <v>5</v>
      </c>
      <c r="G3" s="3" t="s">
        <v>6</v>
      </c>
      <c r="H3" s="2" t="s">
        <v>15</v>
      </c>
      <c r="I3" s="5"/>
    </row>
    <row r="4" spans="1:22" x14ac:dyDescent="0.25">
      <c r="A4" s="5" t="s">
        <v>7</v>
      </c>
      <c r="B4" s="5">
        <v>3.75</v>
      </c>
      <c r="C4" s="6">
        <v>0.35</v>
      </c>
      <c r="D4" s="7">
        <f>B4*$C$4</f>
        <v>1.3125</v>
      </c>
      <c r="E4" s="7">
        <f>B4+D4</f>
        <v>5.0625</v>
      </c>
      <c r="F4" s="7">
        <v>234</v>
      </c>
      <c r="G4" s="7">
        <f>F4*E4</f>
        <v>1184.625</v>
      </c>
      <c r="H4" s="7">
        <f>G4-(B4*F4)</f>
        <v>307.125</v>
      </c>
      <c r="I4" s="5"/>
    </row>
    <row r="5" spans="1:22" x14ac:dyDescent="0.25">
      <c r="A5" s="5" t="s">
        <v>8</v>
      </c>
      <c r="B5" s="5">
        <v>3.65</v>
      </c>
      <c r="C5" s="5"/>
      <c r="D5" s="7">
        <f t="shared" ref="D5:D8" si="0">B5*$C$4</f>
        <v>1.2774999999999999</v>
      </c>
      <c r="E5" s="7">
        <f t="shared" ref="E5:E8" si="1">B5+D5</f>
        <v>4.9275000000000002</v>
      </c>
      <c r="F5" s="7">
        <v>345</v>
      </c>
      <c r="G5" s="7">
        <f t="shared" ref="G5:G8" si="2">F5*E5</f>
        <v>1699.9875000000002</v>
      </c>
      <c r="H5" s="7">
        <f t="shared" ref="H5:H8" si="3">G5-(B5*F5)</f>
        <v>440.73750000000018</v>
      </c>
      <c r="I5" s="5"/>
    </row>
    <row r="6" spans="1:22" x14ac:dyDescent="0.25">
      <c r="A6" s="5" t="s">
        <v>9</v>
      </c>
      <c r="B6" s="5">
        <v>4.25</v>
      </c>
      <c r="C6" s="5"/>
      <c r="D6" s="7">
        <f t="shared" si="0"/>
        <v>1.4874999999999998</v>
      </c>
      <c r="E6" s="7">
        <f t="shared" si="1"/>
        <v>5.7374999999999998</v>
      </c>
      <c r="F6" s="7">
        <v>456</v>
      </c>
      <c r="G6" s="7">
        <f t="shared" si="2"/>
        <v>2616.2999999999997</v>
      </c>
      <c r="H6" s="7">
        <f t="shared" si="3"/>
        <v>678.29999999999973</v>
      </c>
      <c r="I6" s="5"/>
    </row>
    <row r="7" spans="1:22" x14ac:dyDescent="0.25">
      <c r="A7" s="5" t="s">
        <v>10</v>
      </c>
      <c r="B7" s="7">
        <v>1.5</v>
      </c>
      <c r="C7" s="5"/>
      <c r="D7" s="7">
        <f t="shared" si="0"/>
        <v>0.52499999999999991</v>
      </c>
      <c r="E7" s="7">
        <f t="shared" si="1"/>
        <v>2.0249999999999999</v>
      </c>
      <c r="F7" s="7">
        <v>123</v>
      </c>
      <c r="G7" s="7">
        <f t="shared" si="2"/>
        <v>249.07499999999999</v>
      </c>
      <c r="H7" s="7">
        <f t="shared" si="3"/>
        <v>64.574999999999989</v>
      </c>
      <c r="I7" s="5"/>
    </row>
    <row r="8" spans="1:22" x14ac:dyDescent="0.25">
      <c r="A8" s="5" t="s">
        <v>11</v>
      </c>
      <c r="B8" s="7">
        <v>1.5</v>
      </c>
      <c r="C8" s="5"/>
      <c r="D8" s="7">
        <f t="shared" si="0"/>
        <v>0.52499999999999991</v>
      </c>
      <c r="E8" s="7">
        <f t="shared" si="1"/>
        <v>2.0249999999999999</v>
      </c>
      <c r="F8" s="7">
        <v>245</v>
      </c>
      <c r="G8" s="7">
        <f t="shared" si="2"/>
        <v>496.125</v>
      </c>
      <c r="H8" s="7">
        <f t="shared" si="3"/>
        <v>128.625</v>
      </c>
      <c r="I8" s="5"/>
    </row>
    <row r="9" spans="1:22" x14ac:dyDescent="0.25">
      <c r="A9" s="8" t="s">
        <v>12</v>
      </c>
      <c r="B9" s="5"/>
      <c r="C9" s="5"/>
      <c r="D9" s="5"/>
      <c r="E9" s="5"/>
      <c r="F9" s="7">
        <f>SUM(F4:F8)</f>
        <v>1403</v>
      </c>
      <c r="G9" s="7">
        <f t="shared" ref="G9:H9" si="4">SUM(G4:G8)</f>
        <v>6246.1125000000002</v>
      </c>
      <c r="H9" s="7">
        <f t="shared" si="4"/>
        <v>1619.3625</v>
      </c>
      <c r="I9" s="5"/>
    </row>
    <row r="10" spans="1:22" x14ac:dyDescent="0.25">
      <c r="A10" s="8" t="s">
        <v>13</v>
      </c>
      <c r="B10" s="5"/>
      <c r="C10" s="5"/>
      <c r="D10" s="5"/>
      <c r="E10" s="9">
        <f>MAX(E4:E8)</f>
        <v>5.7374999999999998</v>
      </c>
      <c r="F10" s="9">
        <f t="shared" ref="F10:H10" si="5">MAX(F4:F8)</f>
        <v>456</v>
      </c>
      <c r="G10" s="9">
        <f t="shared" si="5"/>
        <v>2616.2999999999997</v>
      </c>
      <c r="H10" s="9">
        <f t="shared" si="5"/>
        <v>678.29999999999973</v>
      </c>
      <c r="I10" s="5"/>
    </row>
    <row r="11" spans="1:22" x14ac:dyDescent="0.25">
      <c r="A11" s="8" t="s">
        <v>14</v>
      </c>
      <c r="B11" s="5"/>
      <c r="C11" s="5"/>
      <c r="D11" s="5"/>
      <c r="E11" s="9">
        <f>MIN(E4:E8)</f>
        <v>2.0249999999999999</v>
      </c>
      <c r="F11" s="9">
        <f t="shared" ref="F11:H11" si="6">MIN(F4:F8)</f>
        <v>123</v>
      </c>
      <c r="G11" s="9">
        <f t="shared" si="6"/>
        <v>249.07499999999999</v>
      </c>
      <c r="H11" s="9">
        <f t="shared" si="6"/>
        <v>64.574999999999989</v>
      </c>
      <c r="I11" s="5"/>
    </row>
    <row r="12" spans="1:22" x14ac:dyDescent="0.25">
      <c r="A12" s="5"/>
      <c r="B12" s="5"/>
      <c r="C12" s="5"/>
      <c r="D12" s="5"/>
      <c r="E12" s="5"/>
      <c r="F12" s="5"/>
      <c r="G12" s="5"/>
      <c r="H12" s="5"/>
      <c r="I12" s="5"/>
    </row>
  </sheetData>
  <mergeCells count="1">
    <mergeCell ref="A1:I2"/>
  </mergeCells>
  <printOptions headings="1" gridLines="1"/>
  <pageMargins left="0.7" right="0.7" top="0.75" bottom="0.75" header="0.3" footer="0.3"/>
  <pageSetup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0292-5D00-43F0-817D-7649838CCADC}">
  <sheetPr>
    <pageSetUpPr fitToPage="1"/>
  </sheetPr>
  <dimension ref="A1:V13"/>
  <sheetViews>
    <sheetView showFormulas="1" zoomScale="91" zoomScaleNormal="100" workbookViewId="0">
      <selection activeCell="C15" sqref="C15"/>
    </sheetView>
  </sheetViews>
  <sheetFormatPr defaultRowHeight="15" x14ac:dyDescent="0.25"/>
  <cols>
    <col min="1" max="1" width="14.85546875" customWidth="1"/>
    <col min="2" max="4" width="13.28515625" customWidth="1"/>
    <col min="5" max="5" width="11.7109375" customWidth="1"/>
    <col min="6" max="6" width="10.140625" customWidth="1"/>
    <col min="7" max="7" width="10.7109375" customWidth="1"/>
  </cols>
  <sheetData>
    <row r="1" spans="1:22" ht="1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customHeight="1" x14ac:dyDescent="0.25">
      <c r="A2" s="10"/>
      <c r="B2" s="10"/>
      <c r="C2" s="10"/>
      <c r="D2" s="10"/>
      <c r="E2" s="10"/>
      <c r="F2" s="10"/>
      <c r="G2" s="10"/>
      <c r="H2" s="1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0" x14ac:dyDescent="0.25">
      <c r="A3" s="2" t="s">
        <v>1</v>
      </c>
      <c r="B3" s="3" t="s">
        <v>2</v>
      </c>
      <c r="C3" s="4" t="s">
        <v>16</v>
      </c>
      <c r="D3" s="3" t="s">
        <v>3</v>
      </c>
      <c r="E3" s="3" t="s">
        <v>4</v>
      </c>
      <c r="F3" s="3" t="s">
        <v>5</v>
      </c>
      <c r="G3" s="3" t="s">
        <v>6</v>
      </c>
      <c r="H3" s="2" t="s">
        <v>15</v>
      </c>
    </row>
    <row r="4" spans="1:22" x14ac:dyDescent="0.25">
      <c r="A4" s="5" t="s">
        <v>7</v>
      </c>
      <c r="B4" s="5">
        <v>3.75</v>
      </c>
      <c r="C4" s="6">
        <v>0.35</v>
      </c>
      <c r="D4" s="7">
        <f>B4*$C$4</f>
        <v>1.3125</v>
      </c>
      <c r="E4" s="7">
        <f>B4+D4</f>
        <v>5.0625</v>
      </c>
      <c r="F4" s="7">
        <v>234</v>
      </c>
      <c r="G4" s="7">
        <f>F4*E4</f>
        <v>1184.625</v>
      </c>
      <c r="H4" s="7">
        <f>G4-(B4*F4)</f>
        <v>307.125</v>
      </c>
    </row>
    <row r="5" spans="1:22" x14ac:dyDescent="0.25">
      <c r="A5" s="5" t="s">
        <v>8</v>
      </c>
      <c r="B5" s="5">
        <v>3.65</v>
      </c>
      <c r="C5" s="5"/>
      <c r="D5" s="7">
        <f t="shared" ref="D5:D8" si="0">B5*$C$4</f>
        <v>1.2774999999999999</v>
      </c>
      <c r="E5" s="7">
        <f t="shared" ref="E5:E8" si="1">B5+D5</f>
        <v>4.9275000000000002</v>
      </c>
      <c r="F5" s="7">
        <v>345</v>
      </c>
      <c r="G5" s="7">
        <f t="shared" ref="G5:G8" si="2">F5*E5</f>
        <v>1699.9875000000002</v>
      </c>
      <c r="H5" s="7">
        <f t="shared" ref="H5:H8" si="3">G5-(B5*F5)</f>
        <v>440.73750000000018</v>
      </c>
    </row>
    <row r="6" spans="1:22" x14ac:dyDescent="0.25">
      <c r="A6" s="5" t="s">
        <v>9</v>
      </c>
      <c r="B6" s="5">
        <v>4.25</v>
      </c>
      <c r="C6" s="5"/>
      <c r="D6" s="7">
        <f t="shared" si="0"/>
        <v>1.4874999999999998</v>
      </c>
      <c r="E6" s="7">
        <f t="shared" si="1"/>
        <v>5.7374999999999998</v>
      </c>
      <c r="F6" s="7">
        <v>456</v>
      </c>
      <c r="G6" s="7">
        <f t="shared" si="2"/>
        <v>2616.2999999999997</v>
      </c>
      <c r="H6" s="7">
        <f t="shared" si="3"/>
        <v>678.29999999999973</v>
      </c>
    </row>
    <row r="7" spans="1:22" x14ac:dyDescent="0.25">
      <c r="A7" s="5" t="s">
        <v>10</v>
      </c>
      <c r="B7" s="7">
        <v>1.5</v>
      </c>
      <c r="C7" s="5"/>
      <c r="D7" s="7">
        <f t="shared" si="0"/>
        <v>0.52499999999999991</v>
      </c>
      <c r="E7" s="7">
        <f t="shared" si="1"/>
        <v>2.0249999999999999</v>
      </c>
      <c r="F7" s="7">
        <v>123</v>
      </c>
      <c r="G7" s="7">
        <f t="shared" si="2"/>
        <v>249.07499999999999</v>
      </c>
      <c r="H7" s="7">
        <f t="shared" si="3"/>
        <v>64.574999999999989</v>
      </c>
    </row>
    <row r="8" spans="1:22" x14ac:dyDescent="0.25">
      <c r="A8" s="5" t="s">
        <v>11</v>
      </c>
      <c r="B8" s="7">
        <v>1.5</v>
      </c>
      <c r="C8" s="5"/>
      <c r="D8" s="7">
        <f t="shared" si="0"/>
        <v>0.52499999999999991</v>
      </c>
      <c r="E8" s="7">
        <f t="shared" si="1"/>
        <v>2.0249999999999999</v>
      </c>
      <c r="F8" s="7">
        <v>245</v>
      </c>
      <c r="G8" s="7">
        <f t="shared" si="2"/>
        <v>496.125</v>
      </c>
      <c r="H8" s="7">
        <f t="shared" si="3"/>
        <v>128.625</v>
      </c>
    </row>
    <row r="9" spans="1:22" x14ac:dyDescent="0.25">
      <c r="A9" s="8" t="s">
        <v>12</v>
      </c>
      <c r="B9" s="5"/>
      <c r="C9" s="5"/>
      <c r="D9" s="5"/>
      <c r="E9" s="5"/>
      <c r="F9" s="7">
        <f>SUM(F4:F8)</f>
        <v>1403</v>
      </c>
      <c r="G9" s="7">
        <f t="shared" ref="G9:H9" si="4">SUM(G4:G8)</f>
        <v>6246.1125000000002</v>
      </c>
      <c r="H9" s="7">
        <f t="shared" si="4"/>
        <v>1619.3625</v>
      </c>
    </row>
    <row r="10" spans="1:22" x14ac:dyDescent="0.25">
      <c r="A10" s="8" t="s">
        <v>13</v>
      </c>
      <c r="B10" s="5"/>
      <c r="C10" s="5"/>
      <c r="D10" s="5"/>
      <c r="E10" s="9">
        <f>MAX(E4:E8)</f>
        <v>5.7374999999999998</v>
      </c>
      <c r="F10" s="9">
        <f t="shared" ref="F10:H10" si="5">MAX(F4:F8)</f>
        <v>456</v>
      </c>
      <c r="G10" s="9">
        <f t="shared" si="5"/>
        <v>2616.2999999999997</v>
      </c>
      <c r="H10" s="9">
        <f t="shared" si="5"/>
        <v>678.29999999999973</v>
      </c>
    </row>
    <row r="11" spans="1:22" x14ac:dyDescent="0.25">
      <c r="A11" s="8" t="s">
        <v>14</v>
      </c>
      <c r="B11" s="5"/>
      <c r="C11" s="5"/>
      <c r="D11" s="5"/>
      <c r="E11" s="9">
        <f>MIN(E4:E8)</f>
        <v>2.0249999999999999</v>
      </c>
      <c r="F11" s="9">
        <f t="shared" ref="F11:H11" si="6">MIN(F4:F8)</f>
        <v>123</v>
      </c>
      <c r="G11" s="9">
        <f t="shared" si="6"/>
        <v>249.07499999999999</v>
      </c>
      <c r="H11" s="9">
        <f t="shared" si="6"/>
        <v>64.574999999999989</v>
      </c>
    </row>
    <row r="12" spans="1:22" x14ac:dyDescent="0.25">
      <c r="A12" s="5"/>
      <c r="B12" s="5"/>
      <c r="C12" s="5"/>
      <c r="D12" s="5"/>
      <c r="E12" s="5"/>
      <c r="F12" s="5"/>
      <c r="G12" s="5"/>
      <c r="H12" s="5"/>
    </row>
    <row r="13" spans="1:22" x14ac:dyDescent="0.25">
      <c r="A13" s="5"/>
      <c r="B13" s="5"/>
      <c r="C13" s="5"/>
      <c r="D13" s="5"/>
      <c r="E13" s="5"/>
      <c r="F13" s="5"/>
      <c r="G13" s="5"/>
      <c r="H13" s="5"/>
    </row>
  </sheetData>
  <mergeCells count="1">
    <mergeCell ref="A1:H2"/>
  </mergeCells>
  <printOptions headings="1" gridLines="1"/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FORMULAS 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dell pc</cp:lastModifiedBy>
  <cp:lastPrinted>2026-08-13T09:36:17Z</cp:lastPrinted>
  <dcterms:created xsi:type="dcterms:W3CDTF">2026-08-13T01:24:34Z</dcterms:created>
  <dcterms:modified xsi:type="dcterms:W3CDTF">2026-09-20T17:33:53Z</dcterms:modified>
</cp:coreProperties>
</file>