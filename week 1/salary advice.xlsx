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CA\"/>
    </mc:Choice>
  </mc:AlternateContent>
  <xr:revisionPtr revIDLastSave="0" documentId="13_ncr:1_{C7107F03-FB73-4227-B0E7-6AD91DD3F715}" xr6:coauthVersionLast="47" xr6:coauthVersionMax="47" xr10:uidLastSave="{00000000-0000-0000-0000-000000000000}"/>
  <bookViews>
    <workbookView xWindow="-120" yWindow="-120" windowWidth="24240" windowHeight="13020" xr2:uid="{46EFCAAC-7EAC-4751-8915-17A496E005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" i="1" l="1"/>
  <c r="D7" i="1"/>
  <c r="B11" i="1"/>
  <c r="B8" i="1"/>
  <c r="B7" i="1"/>
  <c r="D11" i="1" l="1"/>
  <c r="E12" i="1" s="1"/>
</calcChain>
</file>

<file path=xl/sharedStrings.xml><?xml version="1.0" encoding="utf-8"?>
<sst xmlns="http://schemas.openxmlformats.org/spreadsheetml/2006/main" count="24" uniqueCount="23">
  <si>
    <t>Company Name</t>
  </si>
  <si>
    <t>SALARY ADVISE FOR MARCH 2016</t>
  </si>
  <si>
    <t>EMPLOYEE:</t>
  </si>
  <si>
    <t>DATE</t>
  </si>
  <si>
    <t>BASIC SALARY</t>
  </si>
  <si>
    <t>T MORONGO</t>
  </si>
  <si>
    <t>INCOME</t>
  </si>
  <si>
    <t>AMOUNT</t>
  </si>
  <si>
    <t>DEDUCTION</t>
  </si>
  <si>
    <t>STAFF NO</t>
  </si>
  <si>
    <t>NEXT PAY DATE</t>
  </si>
  <si>
    <t>30 A.P.R.I.L. 2016</t>
  </si>
  <si>
    <t>Basic Salary</t>
  </si>
  <si>
    <t>Houing Subsidy</t>
  </si>
  <si>
    <t>Vehicle Allowance</t>
  </si>
  <si>
    <t>Medical Aid</t>
  </si>
  <si>
    <t>Gross Income</t>
  </si>
  <si>
    <t>P.A.Y.E</t>
  </si>
  <si>
    <t>U.I.F</t>
  </si>
  <si>
    <t>Bond Repayment</t>
  </si>
  <si>
    <t>Total Deductions</t>
  </si>
  <si>
    <t>Net Salary</t>
  </si>
  <si>
    <t>Pention@8%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</si>
</sst>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"/>
    <numFmt numFmtId="165" formatCode="[$-F800]dddd\,\ mmmm\ dd\,\ yyyy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1" xfId="0" applyFont="1" applyBorder="1"/>
    <xf numFmtId="0" fontId="0" fillId="0" borderId="1" xfId="0" applyBorder="1"/>
    <xf numFmtId="165" fontId="0" fillId="0" borderId="1" xfId="0" applyNumberFormat="1" applyBorder="1" applyAlignment="1">
      <alignment horizontal="left"/>
    </xf>
    <xf numFmtId="165" fontId="0" fillId="0" borderId="1" xfId="0" applyNumberFormat="1" applyBorder="1"/>
    <xf numFmtId="164" fontId="0" fillId="0" borderId="1" xfId="0" applyNumberFormat="1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right" vertical="center"/>
    </xf>
    <xf numFmtId="0" fontId="6" fillId="0" borderId="1" xfId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/>
    <xf numFmtId="0" fontId="2" fillId="0" borderId="1" xfId="0" applyFont="1" applyBorder="1"/>
    <xf numFmtId="0" fontId="1" fillId="0" borderId="1" xfId="0" applyFont="1" applyBorder="1" applyAlignment="1">
      <alignment horizontal="left" vertical="center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/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ention@8%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FA7EB-64B2-4407-88A1-C1E2A4A1CF5F}">
  <sheetPr>
    <pageSetUpPr fitToPage="1"/>
  </sheetPr>
  <dimension ref="A1:R13"/>
  <sheetViews>
    <sheetView tabSelected="1" view="pageLayout" zoomScale="88" zoomScaleNormal="98" zoomScalePageLayoutView="88" workbookViewId="0">
      <selection activeCell="E17" sqref="E17"/>
    </sheetView>
  </sheetViews>
  <sheetFormatPr defaultRowHeight="15" x14ac:dyDescent="0.25"/>
  <cols>
    <col min="1" max="1" width="18.28515625" customWidth="1"/>
    <col min="2" max="2" width="17" customWidth="1"/>
    <col min="3" max="3" width="20" customWidth="1"/>
    <col min="4" max="4" width="11.28515625" customWidth="1"/>
    <col min="5" max="5" width="15.42578125" customWidth="1"/>
    <col min="6" max="6" width="19.28515625" customWidth="1"/>
  </cols>
  <sheetData>
    <row r="1" spans="1:18" ht="28.5" x14ac:dyDescent="0.45">
      <c r="A1" s="16" t="s">
        <v>0</v>
      </c>
      <c r="B1" s="16"/>
      <c r="C1" s="16"/>
      <c r="D1" s="16"/>
      <c r="E1" s="16"/>
      <c r="F1" s="16"/>
      <c r="G1" s="16"/>
      <c r="H1" s="16"/>
      <c r="I1" s="13"/>
      <c r="J1" s="13"/>
      <c r="K1" s="13"/>
      <c r="L1" s="13"/>
      <c r="M1" s="13"/>
      <c r="N1" s="13"/>
      <c r="O1" s="13"/>
      <c r="P1" s="13"/>
      <c r="Q1" s="13"/>
      <c r="R1" s="13"/>
    </row>
    <row r="2" spans="1:18" x14ac:dyDescent="0.25">
      <c r="A2" s="17" t="s">
        <v>1</v>
      </c>
      <c r="B2" s="17"/>
      <c r="C2" s="17"/>
      <c r="D2" s="17"/>
      <c r="E2" s="17"/>
      <c r="F2" s="17"/>
      <c r="G2" s="17"/>
      <c r="H2" s="17"/>
      <c r="I2" s="14"/>
      <c r="J2" s="14"/>
      <c r="K2" s="14"/>
      <c r="L2" s="14"/>
      <c r="M2" s="14"/>
      <c r="N2" s="14"/>
      <c r="O2" s="14"/>
      <c r="P2" s="14"/>
      <c r="Q2" s="14"/>
      <c r="R2" s="14"/>
    </row>
    <row r="3" spans="1:18" x14ac:dyDescent="0.25">
      <c r="A3" s="1" t="s">
        <v>2</v>
      </c>
      <c r="B3" s="2" t="s">
        <v>5</v>
      </c>
      <c r="C3" s="2"/>
      <c r="D3" s="2"/>
      <c r="E3" s="1" t="s">
        <v>9</v>
      </c>
      <c r="F3" s="2">
        <v>4</v>
      </c>
      <c r="G3" s="2"/>
      <c r="H3" s="2"/>
    </row>
    <row r="4" spans="1:18" x14ac:dyDescent="0.25">
      <c r="A4" s="1" t="s">
        <v>3</v>
      </c>
      <c r="B4" s="3">
        <v>42460</v>
      </c>
      <c r="C4" s="2"/>
      <c r="D4" s="2"/>
      <c r="E4" s="1" t="s">
        <v>10</v>
      </c>
      <c r="F4" s="4" t="s">
        <v>11</v>
      </c>
      <c r="G4" s="2"/>
      <c r="H4" s="2"/>
    </row>
    <row r="5" spans="1:18" x14ac:dyDescent="0.25">
      <c r="A5" s="1" t="s">
        <v>4</v>
      </c>
      <c r="B5" s="5">
        <v>31200</v>
      </c>
      <c r="C5" s="2"/>
      <c r="D5" s="2"/>
      <c r="E5" s="2"/>
      <c r="F5" s="2"/>
      <c r="G5" s="2"/>
      <c r="H5" s="2"/>
    </row>
    <row r="6" spans="1:18" ht="18.75" x14ac:dyDescent="0.3">
      <c r="A6" s="6" t="s">
        <v>6</v>
      </c>
      <c r="B6" s="6" t="s">
        <v>7</v>
      </c>
      <c r="C6" s="6" t="s">
        <v>8</v>
      </c>
      <c r="D6" s="6" t="s">
        <v>7</v>
      </c>
      <c r="E6" s="6"/>
      <c r="F6" s="6"/>
      <c r="G6" s="6"/>
      <c r="H6" s="6"/>
      <c r="I6" s="15"/>
      <c r="J6" s="15"/>
      <c r="K6" s="15"/>
      <c r="L6" s="15"/>
      <c r="M6" s="15"/>
      <c r="N6" s="15"/>
      <c r="O6" s="15"/>
      <c r="P6" s="15"/>
      <c r="Q6" s="15"/>
      <c r="R6" s="15"/>
    </row>
    <row r="7" spans="1:18" x14ac:dyDescent="0.25">
      <c r="A7" s="12" t="s">
        <v>12</v>
      </c>
      <c r="B7" s="7">
        <f>B5/12</f>
        <v>2600</v>
      </c>
      <c r="C7" s="8" t="s">
        <v>22</v>
      </c>
      <c r="D7" s="7">
        <f>B7*8/100</f>
        <v>208</v>
      </c>
      <c r="E7" s="9"/>
      <c r="F7" s="9"/>
      <c r="G7" s="9"/>
      <c r="H7" s="9"/>
    </row>
    <row r="8" spans="1:18" x14ac:dyDescent="0.25">
      <c r="A8" s="1" t="s">
        <v>13</v>
      </c>
      <c r="B8" s="10">
        <f>6000/12</f>
        <v>500</v>
      </c>
      <c r="C8" s="1" t="s">
        <v>17</v>
      </c>
      <c r="D8" s="10">
        <v>636.83000000000004</v>
      </c>
      <c r="E8" s="2"/>
      <c r="F8" s="2"/>
      <c r="G8" s="2"/>
      <c r="H8" s="2"/>
    </row>
    <row r="9" spans="1:18" x14ac:dyDescent="0.25">
      <c r="A9" s="1" t="s">
        <v>14</v>
      </c>
      <c r="B9" s="10">
        <v>100</v>
      </c>
      <c r="C9" s="1" t="s">
        <v>18</v>
      </c>
      <c r="D9" s="10">
        <f>1%*(B7+B8)</f>
        <v>31</v>
      </c>
      <c r="E9" s="2"/>
      <c r="F9" s="2"/>
      <c r="G9" s="2"/>
      <c r="H9" s="2"/>
    </row>
    <row r="10" spans="1:18" x14ac:dyDescent="0.25">
      <c r="A10" s="1" t="s">
        <v>15</v>
      </c>
      <c r="B10" s="10">
        <v>70</v>
      </c>
      <c r="C10" s="1" t="s">
        <v>19</v>
      </c>
      <c r="D10" s="10">
        <v>630</v>
      </c>
      <c r="E10" s="2"/>
      <c r="F10" s="2"/>
      <c r="G10" s="2"/>
      <c r="H10" s="2"/>
    </row>
    <row r="11" spans="1:18" x14ac:dyDescent="0.25">
      <c r="A11" s="1" t="s">
        <v>16</v>
      </c>
      <c r="B11" s="5">
        <f>SUM(B7:B10)</f>
        <v>3270</v>
      </c>
      <c r="C11" s="1" t="s">
        <v>20</v>
      </c>
      <c r="D11" s="5">
        <f>SUM(D7:D10)</f>
        <v>1505.83</v>
      </c>
      <c r="E11" s="2"/>
      <c r="F11" s="2"/>
      <c r="G11" s="2"/>
      <c r="H11" s="2"/>
    </row>
    <row r="12" spans="1:18" ht="15.75" x14ac:dyDescent="0.25">
      <c r="A12" s="2"/>
      <c r="B12" s="2"/>
      <c r="C12" s="2"/>
      <c r="D12" s="11" t="s">
        <v>21</v>
      </c>
      <c r="E12" s="10">
        <f>B11-D11</f>
        <v>1764.17</v>
      </c>
      <c r="F12" s="2"/>
      <c r="G12" s="2"/>
      <c r="H12" s="2"/>
    </row>
    <row r="13" spans="1:18" x14ac:dyDescent="0.25">
      <c r="A13" s="2"/>
      <c r="B13" s="2"/>
      <c r="C13" s="2"/>
      <c r="D13" s="2"/>
      <c r="E13" s="2"/>
      <c r="F13" s="2"/>
      <c r="G13" s="2"/>
      <c r="H13" s="2"/>
    </row>
  </sheetData>
  <mergeCells count="2">
    <mergeCell ref="A1:H1"/>
    <mergeCell ref="A2:H2"/>
  </mergeCells>
  <hyperlinks>
    <hyperlink ref="C7" r:id="rId1" xr:uid="{4311FF4B-2294-4275-BE07-D8EED0CE30AF}"/>
  </hyperlinks>
  <pageMargins left="0.70866141732283472" right="0.70866141732283472" top="0.74803149606299213" bottom="0.74803149606299213" header="0.31496062992125984" footer="0.31496062992125984"/>
  <pageSetup paperSize="9" scale="73" orientation="portrait" horizontalDpi="4294967293" r:id="rId2"/>
  <headerFooter>
    <oddFooter>&amp;LSHIVANGI&amp;CMCA-I LAB&amp;RPROBLEM 3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pc</dc:creator>
  <cp:lastModifiedBy>dell pc</cp:lastModifiedBy>
  <cp:lastPrinted>2026-08-13T10:01:07Z</cp:lastPrinted>
  <dcterms:created xsi:type="dcterms:W3CDTF">2026-08-12T16:04:56Z</dcterms:created>
  <dcterms:modified xsi:type="dcterms:W3CDTF">2026-09-20T16:16:32Z</dcterms:modified>
</cp:coreProperties>
</file>